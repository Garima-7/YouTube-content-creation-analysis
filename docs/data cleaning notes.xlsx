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8" windowWidth="14808" windowHeight="8016"/>
  </bookViews>
  <sheets>
    <sheet name="issues_log" sheetId="1" r:id="rId1"/>
    <sheet name="videos" sheetId="4" r:id="rId2"/>
    <sheet name="channels" sheetId="6" r:id="rId3"/>
    <sheet name="category" sheetId="5" r:id="rId4"/>
    <sheet name="subscriptions" sheetId="2" r:id="rId5"/>
    <sheet name="upload_playlist" sheetId="3" r:id="rId6"/>
  </sheets>
  <calcPr calcId="152511"/>
</workbook>
</file>

<file path=xl/calcChain.xml><?xml version="1.0" encoding="utf-8"?>
<calcChain xmlns="http://schemas.openxmlformats.org/spreadsheetml/2006/main">
  <c r="I15" i="1" l="1"/>
  <c r="I3" i="1" l="1"/>
  <c r="I4" i="1"/>
  <c r="I5" i="1"/>
  <c r="I6" i="1"/>
  <c r="I7" i="1"/>
  <c r="I8" i="1"/>
  <c r="I9" i="1"/>
  <c r="I10" i="1"/>
  <c r="I11" i="1"/>
  <c r="I12" i="1"/>
  <c r="I13" i="1"/>
  <c r="I14" i="1"/>
  <c r="I2" i="1"/>
</calcChain>
</file>

<file path=xl/sharedStrings.xml><?xml version="1.0" encoding="utf-8"?>
<sst xmlns="http://schemas.openxmlformats.org/spreadsheetml/2006/main" count="114" uniqueCount="67">
  <si>
    <t>table</t>
  </si>
  <si>
    <t>column</t>
  </si>
  <si>
    <t>issue</t>
  </si>
  <si>
    <t>row count</t>
  </si>
  <si>
    <t>solvable?</t>
  </si>
  <si>
    <t>resolution</t>
  </si>
  <si>
    <t>total rows in table</t>
  </si>
  <si>
    <t>total columns in table</t>
  </si>
  <si>
    <t>% of values in this issue</t>
  </si>
  <si>
    <t>KEY METRICS</t>
  </si>
  <si>
    <t>DIMENSION</t>
  </si>
  <si>
    <t>subscriber count</t>
  </si>
  <si>
    <t>totalViewCount</t>
  </si>
  <si>
    <t>totalVideoCount</t>
  </si>
  <si>
    <t>channel_id</t>
  </si>
  <si>
    <t>category_id</t>
  </si>
  <si>
    <t>view_count</t>
  </si>
  <si>
    <t>like_count</t>
  </si>
  <si>
    <t>comment_count</t>
  </si>
  <si>
    <t>video_id</t>
  </si>
  <si>
    <t>like_count per view_count</t>
  </si>
  <si>
    <t>comment_count per view_count</t>
  </si>
  <si>
    <t>duration</t>
  </si>
  <si>
    <t>video_title</t>
  </si>
  <si>
    <t>video_description</t>
  </si>
  <si>
    <t>tags</t>
  </si>
  <si>
    <t>publish_date</t>
  </si>
  <si>
    <t>videos</t>
  </si>
  <si>
    <t>name errors are there</t>
  </si>
  <si>
    <t>Y</t>
  </si>
  <si>
    <t>some values are dates</t>
  </si>
  <si>
    <t>blank values</t>
  </si>
  <si>
    <t>N</t>
  </si>
  <si>
    <t>format is some unusual, not a number format</t>
  </si>
  <si>
    <t>dimension</t>
  </si>
  <si>
    <t>has 0 values</t>
  </si>
  <si>
    <t>dislike_count</t>
  </si>
  <si>
    <t>all values blank</t>
  </si>
  <si>
    <t>favourite_count</t>
  </si>
  <si>
    <t>has all 0 values</t>
  </si>
  <si>
    <t>has blank values</t>
  </si>
  <si>
    <t>channels</t>
  </si>
  <si>
    <t>channel_description</t>
  </si>
  <si>
    <t>channel_country</t>
  </si>
  <si>
    <t>videos/upload_playlist</t>
  </si>
  <si>
    <t>only has one value 2d,only 1 has 3d</t>
  </si>
  <si>
    <t>DROP THE COLUMN AS IT WILL NOT PROVIDE ANY INFORMATION</t>
  </si>
  <si>
    <t>leave it as it is, will take action if its key dimension in analysis</t>
  </si>
  <si>
    <t>Not an issue</t>
  </si>
  <si>
    <t>drop column</t>
  </si>
  <si>
    <t>Will handle it if its key dimension</t>
  </si>
  <si>
    <t>CONVERT THE COLUMNS INTO TEXT AFTER CONVERTING CSV TO EXCEL FROMAT, THIS WILL NOT CONSIDER IDS STARTING FROM '-' AS A FORMULA. IN POWERBI AND PANDAS DATA FOR THIS COLUMN IS LOADED CORRECTLY SO NO ISSUE</t>
  </si>
  <si>
    <t>They seem genuine because either they are uploaded recently, also 25 is less number so we can keep them as it is</t>
  </si>
  <si>
    <t>isodate.parse_duration(x) converts the ISO 8601 string into a Python timedelta object. Youtube API sends duration in iso format.</t>
  </si>
  <si>
    <t>channels and videos</t>
  </si>
  <si>
    <t>publish_date and channel_creation_date</t>
  </si>
  <si>
    <t>for some rows publish_date is greater  than channel_creation_date</t>
  </si>
  <si>
    <t>not needed</t>
  </si>
  <si>
    <t>Auto-generated YouTube Topic channels may have a channel_creation_date that is later than the publish_date of videos associated with them. This occurs because Topic channels are created after music releases have already been published and are subsequently linked to the newly created channel.</t>
  </si>
  <si>
    <t>subscriptions</t>
  </si>
  <si>
    <t>data types not correct</t>
  </si>
  <si>
    <t>duration,publish_date,like_count,comment_count</t>
  </si>
  <si>
    <t>channel_creation_time, totalViewCount</t>
  </si>
  <si>
    <t>subscription_time</t>
  </si>
  <si>
    <t xml:space="preserve"> </t>
  </si>
  <si>
    <t>The video owner has hidden the like count. Leave as it is as number is less. They are treated as blank while calculating engagement and hence no impact on average engagement rate as blank values are ignored during averge calculation by powerbi.</t>
  </si>
  <si>
    <t>The video owner has hidden the comment count. Leave as it is as number is less.They are treated as blank while calculating engagement and hence no impact on average engagement rate as blank values are ignored during averge calculation by powerbi.</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</si>
</sst>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sz val="11"/>
      <color theme="1"/>
      <name val="Calibri"/>
      <family val="2"/>
      <scheme val="minor"/>
    </font>
    <font>
      <sz val="10"/>
      <color theme="1"/>
      <name val="Calibri"/>
      <family val="2"/>
      <scheme val="minor"/>
    </font>
    <font>
      <b/>
      <sz val="10"/>
      <color theme="1"/>
      <name val="Calibri"/>
      <family val="2"/>
      <scheme val="minor"/>
    </font>
    <font>
      <sz val="8"/>
      <color theme="1"/>
      <name val="Segoe UI"/>
      <family val="2"/>
    </font>
  </fonts>
  <fills count="4">
    <fill>
      <patternFill patternType="none"/>
    </fill>
    <fill>
      <patternFill patternType="gray125"/>
    </fill>
    <fill>
      <patternFill patternType="solid">
        <fgColor theme="4" tint="0.79998168889431442"/>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21">
    <xf numFmtId="0" fontId="0" fillId="0" borderId="0" xfId="0"/>
    <xf numFmtId="0" fontId="1" fillId="2" borderId="1" xfId="0" applyFont="1" applyFill="1" applyBorder="1" applyAlignment="1">
      <alignment horizontal="center" vertical="center" wrapText="1"/>
    </xf>
    <xf numFmtId="0" fontId="1" fillId="0" borderId="1" xfId="0" applyFont="1" applyBorder="1" applyAlignment="1">
      <alignment vertical="center" wrapText="1"/>
    </xf>
    <xf numFmtId="0" fontId="1" fillId="0" borderId="0" xfId="0" applyFont="1"/>
    <xf numFmtId="0" fontId="0" fillId="0" borderId="0" xfId="0" applyAlignment="1">
      <alignment wrapText="1"/>
    </xf>
    <xf numFmtId="0" fontId="0" fillId="0" borderId="0" xfId="0" applyAlignment="1">
      <alignment vertical="top"/>
    </xf>
    <xf numFmtId="0" fontId="0" fillId="0" borderId="0" xfId="0" applyAlignment="1">
      <alignment vertical="top" wrapText="1"/>
    </xf>
    <xf numFmtId="0" fontId="0" fillId="3" borderId="0" xfId="0" applyFill="1"/>
    <xf numFmtId="0" fontId="0" fillId="3" borderId="1" xfId="0" applyFill="1" applyBorder="1"/>
    <xf numFmtId="0" fontId="0" fillId="3" borderId="1" xfId="0" applyFill="1" applyBorder="1" applyAlignment="1">
      <alignment wrapText="1"/>
    </xf>
    <xf numFmtId="0" fontId="0" fillId="0" borderId="1" xfId="0" applyBorder="1"/>
    <xf numFmtId="9" fontId="1" fillId="0" borderId="1" xfId="1" applyFont="1" applyBorder="1" applyAlignment="1">
      <alignment vertical="center" wrapText="1"/>
    </xf>
    <xf numFmtId="9" fontId="0" fillId="0" borderId="0" xfId="1" applyFont="1"/>
    <xf numFmtId="9" fontId="0" fillId="3" borderId="0" xfId="1" applyFont="1" applyFill="1"/>
    <xf numFmtId="0" fontId="3" fillId="0" borderId="0" xfId="0" applyFont="1" applyAlignment="1">
      <alignment wrapText="1"/>
    </xf>
    <xf numFmtId="0" fontId="3" fillId="3" borderId="1" xfId="0" applyFont="1" applyFill="1" applyBorder="1" applyAlignment="1">
      <alignment wrapText="1"/>
    </xf>
    <xf numFmtId="0" fontId="4" fillId="2" borderId="1" xfId="0" applyFont="1" applyFill="1" applyBorder="1" applyAlignment="1">
      <alignment horizontal="center" vertical="center" wrapText="1"/>
    </xf>
    <xf numFmtId="0" fontId="3" fillId="0" borderId="0" xfId="0" applyFont="1" applyAlignment="1">
      <alignment vertical="top" wrapText="1"/>
    </xf>
    <xf numFmtId="9" fontId="0" fillId="3" borderId="1" xfId="1" applyFont="1" applyFill="1" applyBorder="1"/>
    <xf numFmtId="0" fontId="5" fillId="0" borderId="0" xfId="0" applyFont="1" applyAlignment="1">
      <alignment wrapText="1"/>
    </xf>
    <xf numFmtId="0" fontId="0" fillId="0" borderId="0" xfId="0" applyAlignment="1">
      <alignment horizontal="center" vertical="center"/>
    </xf>
  </cellXfs>
  <cellStyles count="2">
    <cellStyle name="Normal" xfId="0" builtinId="0"/>
    <cellStyle name="Percent" xfId="1"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
  <sheetViews>
    <sheetView tabSelected="1" topLeftCell="A10" workbookViewId="0">
      <selection activeCell="E12" sqref="E12"/>
    </sheetView>
  </sheetViews>
  <sheetFormatPr defaultColWidth="12.88671875" defaultRowHeight="36.6" customHeight="1" x14ac:dyDescent="0.3"/>
  <cols>
    <col min="1" max="1" width="21.109375" customWidth="1"/>
    <col min="2" max="2" width="18.88671875" customWidth="1"/>
    <col min="3" max="3" width="20.44140625" style="4" customWidth="1"/>
    <col min="4" max="4" width="20.44140625" customWidth="1"/>
    <col min="6" max="6" width="32.5546875" style="14" customWidth="1"/>
    <col min="7" max="7" width="16" customWidth="1"/>
    <col min="8" max="8" width="19.44140625" customWidth="1"/>
    <col min="9" max="9" width="12.88671875" style="12"/>
  </cols>
  <sheetData>
    <row r="1" spans="1:9" s="2" customFormat="1" ht="36.6" customHeight="1" x14ac:dyDescent="0.3">
      <c r="A1" s="1" t="s">
        <v>0</v>
      </c>
      <c r="B1" s="1" t="s">
        <v>1</v>
      </c>
      <c r="C1" s="1" t="s">
        <v>2</v>
      </c>
      <c r="D1" s="1" t="s">
        <v>3</v>
      </c>
      <c r="E1" s="1" t="s">
        <v>4</v>
      </c>
      <c r="F1" s="16" t="s">
        <v>5</v>
      </c>
      <c r="G1" s="2" t="s">
        <v>6</v>
      </c>
      <c r="H1" s="2" t="s">
        <v>7</v>
      </c>
      <c r="I1" s="11" t="s">
        <v>8</v>
      </c>
    </row>
    <row r="2" spans="1:9" ht="107.4" customHeight="1" x14ac:dyDescent="0.3">
      <c r="A2" t="s">
        <v>44</v>
      </c>
      <c r="B2" t="s">
        <v>19</v>
      </c>
      <c r="C2" s="4" t="s">
        <v>28</v>
      </c>
      <c r="D2">
        <v>459</v>
      </c>
      <c r="E2" t="s">
        <v>29</v>
      </c>
      <c r="F2" s="14" t="s">
        <v>51</v>
      </c>
      <c r="G2">
        <v>31344</v>
      </c>
      <c r="H2">
        <v>15</v>
      </c>
      <c r="I2" s="12">
        <f>D2/G2</f>
        <v>1.464395099540582E-2</v>
      </c>
    </row>
    <row r="3" spans="1:9" ht="36.6" customHeight="1" x14ac:dyDescent="0.3">
      <c r="A3" t="s">
        <v>27</v>
      </c>
      <c r="B3" t="s">
        <v>23</v>
      </c>
      <c r="C3" s="4" t="s">
        <v>30</v>
      </c>
      <c r="D3">
        <v>37</v>
      </c>
      <c r="E3" t="s">
        <v>32</v>
      </c>
      <c r="F3" s="14" t="s">
        <v>47</v>
      </c>
      <c r="G3">
        <v>31344</v>
      </c>
      <c r="H3">
        <v>15</v>
      </c>
      <c r="I3" s="12">
        <f t="shared" ref="I3:I15" si="0">D3/G3</f>
        <v>1.1804492087799897E-3</v>
      </c>
    </row>
    <row r="4" spans="1:9" ht="36.6" customHeight="1" x14ac:dyDescent="0.3">
      <c r="A4" t="s">
        <v>27</v>
      </c>
      <c r="B4" t="s">
        <v>24</v>
      </c>
      <c r="C4" s="4" t="s">
        <v>31</v>
      </c>
      <c r="D4">
        <v>2141</v>
      </c>
      <c r="E4" t="s">
        <v>32</v>
      </c>
      <c r="F4" s="14" t="s">
        <v>48</v>
      </c>
      <c r="G4">
        <v>31344</v>
      </c>
      <c r="H4">
        <v>15</v>
      </c>
      <c r="I4" s="12">
        <f t="shared" si="0"/>
        <v>6.8306533945890757E-2</v>
      </c>
    </row>
    <row r="5" spans="1:9" ht="36.6" customHeight="1" x14ac:dyDescent="0.3">
      <c r="A5" t="s">
        <v>27</v>
      </c>
      <c r="B5" t="s">
        <v>25</v>
      </c>
      <c r="C5" s="4" t="s">
        <v>31</v>
      </c>
      <c r="D5">
        <v>4698</v>
      </c>
      <c r="E5" t="s">
        <v>32</v>
      </c>
      <c r="F5" s="14" t="s">
        <v>48</v>
      </c>
      <c r="G5">
        <v>31344</v>
      </c>
      <c r="H5">
        <v>15</v>
      </c>
      <c r="I5" s="12">
        <f t="shared" si="0"/>
        <v>0.14988514548238899</v>
      </c>
    </row>
    <row r="6" spans="1:9" s="5" customFormat="1" ht="60.6" customHeight="1" x14ac:dyDescent="0.3">
      <c r="A6" s="5" t="s">
        <v>27</v>
      </c>
      <c r="B6" s="5" t="s">
        <v>22</v>
      </c>
      <c r="C6" s="6" t="s">
        <v>33</v>
      </c>
      <c r="D6" s="5">
        <v>31344</v>
      </c>
      <c r="E6" s="5" t="s">
        <v>29</v>
      </c>
      <c r="F6" s="17" t="s">
        <v>53</v>
      </c>
      <c r="G6">
        <v>31344</v>
      </c>
      <c r="H6">
        <v>15</v>
      </c>
      <c r="I6" s="12">
        <f t="shared" si="0"/>
        <v>1</v>
      </c>
    </row>
    <row r="7" spans="1:9" s="10" customFormat="1" ht="36.6" customHeight="1" x14ac:dyDescent="0.3">
      <c r="A7" s="8" t="s">
        <v>27</v>
      </c>
      <c r="B7" s="8" t="s">
        <v>34</v>
      </c>
      <c r="C7" s="9" t="s">
        <v>45</v>
      </c>
      <c r="D7" s="8">
        <v>31343</v>
      </c>
      <c r="E7" s="8" t="s">
        <v>29</v>
      </c>
      <c r="F7" s="15" t="s">
        <v>46</v>
      </c>
      <c r="G7" s="7">
        <v>31344</v>
      </c>
      <c r="H7" s="7">
        <v>15</v>
      </c>
      <c r="I7" s="13">
        <f t="shared" si="0"/>
        <v>0.99996809596733027</v>
      </c>
    </row>
    <row r="8" spans="1:9" ht="55.8" customHeight="1" x14ac:dyDescent="0.3">
      <c r="A8" t="s">
        <v>27</v>
      </c>
      <c r="B8" t="s">
        <v>16</v>
      </c>
      <c r="C8" s="4" t="s">
        <v>35</v>
      </c>
      <c r="D8">
        <v>25</v>
      </c>
      <c r="E8" t="s">
        <v>32</v>
      </c>
      <c r="F8" s="14" t="s">
        <v>52</v>
      </c>
      <c r="G8">
        <v>31344</v>
      </c>
      <c r="H8">
        <v>15</v>
      </c>
      <c r="I8" s="12">
        <f t="shared" si="0"/>
        <v>7.9760081674323639E-4</v>
      </c>
    </row>
    <row r="9" spans="1:9" s="8" customFormat="1" ht="36.6" customHeight="1" x14ac:dyDescent="0.3">
      <c r="A9" s="8" t="s">
        <v>27</v>
      </c>
      <c r="B9" s="8" t="s">
        <v>36</v>
      </c>
      <c r="C9" s="9" t="s">
        <v>37</v>
      </c>
      <c r="D9" s="8">
        <v>31344</v>
      </c>
      <c r="E9" s="8" t="s">
        <v>29</v>
      </c>
      <c r="F9" s="15" t="s">
        <v>49</v>
      </c>
      <c r="G9" s="8">
        <v>31344</v>
      </c>
      <c r="H9" s="8">
        <v>15</v>
      </c>
      <c r="I9" s="18">
        <f t="shared" si="0"/>
        <v>1</v>
      </c>
    </row>
    <row r="10" spans="1:9" ht="103.2" customHeight="1" x14ac:dyDescent="0.3">
      <c r="A10" t="s">
        <v>27</v>
      </c>
      <c r="B10" t="s">
        <v>17</v>
      </c>
      <c r="C10" s="4" t="s">
        <v>31</v>
      </c>
      <c r="D10">
        <v>187</v>
      </c>
      <c r="E10" t="s">
        <v>32</v>
      </c>
      <c r="F10" s="4" t="s">
        <v>65</v>
      </c>
      <c r="G10">
        <v>31344</v>
      </c>
      <c r="H10">
        <v>15</v>
      </c>
      <c r="I10" s="12">
        <f t="shared" si="0"/>
        <v>5.9660541092394076E-3</v>
      </c>
    </row>
    <row r="11" spans="1:9" s="8" customFormat="1" ht="36.6" customHeight="1" x14ac:dyDescent="0.3">
      <c r="A11" s="8" t="s">
        <v>27</v>
      </c>
      <c r="B11" s="8" t="s">
        <v>38</v>
      </c>
      <c r="C11" s="9" t="s">
        <v>39</v>
      </c>
      <c r="D11" s="8">
        <v>31344</v>
      </c>
      <c r="E11" s="8" t="s">
        <v>29</v>
      </c>
      <c r="F11" s="15" t="s">
        <v>49</v>
      </c>
      <c r="G11" s="8">
        <v>31344</v>
      </c>
      <c r="H11" s="8">
        <v>15</v>
      </c>
      <c r="I11" s="18">
        <f t="shared" si="0"/>
        <v>1</v>
      </c>
    </row>
    <row r="12" spans="1:9" ht="97.8" customHeight="1" x14ac:dyDescent="0.3">
      <c r="A12" t="s">
        <v>27</v>
      </c>
      <c r="B12" t="s">
        <v>18</v>
      </c>
      <c r="C12" s="4" t="s">
        <v>40</v>
      </c>
      <c r="D12">
        <v>569</v>
      </c>
      <c r="E12" t="s">
        <v>32</v>
      </c>
      <c r="F12" s="14" t="s">
        <v>66</v>
      </c>
      <c r="G12">
        <v>31344</v>
      </c>
      <c r="H12">
        <v>15</v>
      </c>
      <c r="I12" s="12">
        <f t="shared" si="0"/>
        <v>1.8153394589076059E-2</v>
      </c>
    </row>
    <row r="13" spans="1:9" ht="36.6" customHeight="1" x14ac:dyDescent="0.3">
      <c r="A13" t="s">
        <v>41</v>
      </c>
      <c r="B13" t="s">
        <v>42</v>
      </c>
      <c r="C13" s="4" t="s">
        <v>40</v>
      </c>
      <c r="D13">
        <v>86</v>
      </c>
      <c r="E13" t="s">
        <v>32</v>
      </c>
      <c r="F13" s="14" t="s">
        <v>48</v>
      </c>
      <c r="G13">
        <v>454</v>
      </c>
      <c r="H13">
        <v>9</v>
      </c>
      <c r="I13" s="12">
        <f t="shared" si="0"/>
        <v>0.1894273127753304</v>
      </c>
    </row>
    <row r="14" spans="1:9" ht="36.6" customHeight="1" x14ac:dyDescent="0.3">
      <c r="A14" t="s">
        <v>41</v>
      </c>
      <c r="B14" t="s">
        <v>43</v>
      </c>
      <c r="C14" s="4" t="s">
        <v>40</v>
      </c>
      <c r="D14">
        <v>170</v>
      </c>
      <c r="E14" t="s">
        <v>32</v>
      </c>
      <c r="F14" s="14" t="s">
        <v>50</v>
      </c>
      <c r="G14">
        <v>454</v>
      </c>
      <c r="H14">
        <v>9</v>
      </c>
      <c r="I14" s="12">
        <f t="shared" si="0"/>
        <v>0.37444933920704848</v>
      </c>
    </row>
    <row r="15" spans="1:9" ht="80.400000000000006" customHeight="1" x14ac:dyDescent="0.3">
      <c r="A15" t="s">
        <v>54</v>
      </c>
      <c r="B15" s="4" t="s">
        <v>55</v>
      </c>
      <c r="C15" s="4" t="s">
        <v>56</v>
      </c>
      <c r="D15">
        <v>50</v>
      </c>
      <c r="E15" t="s">
        <v>57</v>
      </c>
      <c r="F15" s="19" t="s">
        <v>58</v>
      </c>
      <c r="G15">
        <v>31344</v>
      </c>
      <c r="H15">
        <v>50</v>
      </c>
      <c r="I15" s="12">
        <f t="shared" si="0"/>
        <v>1.5952016334864728E-3</v>
      </c>
    </row>
    <row r="16" spans="1:9" ht="64.2" customHeight="1" x14ac:dyDescent="0.3">
      <c r="A16" t="s">
        <v>27</v>
      </c>
      <c r="B16" s="4" t="s">
        <v>61</v>
      </c>
      <c r="C16" s="4" t="s">
        <v>60</v>
      </c>
      <c r="E16" t="s">
        <v>29</v>
      </c>
    </row>
    <row r="17" spans="1:5" ht="36.6" customHeight="1" x14ac:dyDescent="0.3">
      <c r="A17" t="s">
        <v>41</v>
      </c>
      <c r="B17" s="4" t="s">
        <v>62</v>
      </c>
      <c r="C17" s="4" t="s">
        <v>60</v>
      </c>
      <c r="E17" t="s">
        <v>29</v>
      </c>
    </row>
    <row r="18" spans="1:5" ht="36.6" customHeight="1" x14ac:dyDescent="0.3">
      <c r="A18" t="s">
        <v>59</v>
      </c>
      <c r="B18" s="4" t="s">
        <v>63</v>
      </c>
      <c r="C18" s="4" t="s">
        <v>60</v>
      </c>
      <c r="D18" t="s">
        <v>64</v>
      </c>
      <c r="E18" t="s">
        <v>29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election activeCell="C19" sqref="C19"/>
    </sheetView>
  </sheetViews>
  <sheetFormatPr defaultRowHeight="14.4" x14ac:dyDescent="0.3"/>
  <cols>
    <col min="1" max="1" width="28.77734375" customWidth="1"/>
    <col min="2" max="2" width="19.33203125" customWidth="1"/>
  </cols>
  <sheetData>
    <row r="1" spans="1:2" x14ac:dyDescent="0.3">
      <c r="A1" s="3" t="s">
        <v>9</v>
      </c>
      <c r="B1" s="3" t="s">
        <v>10</v>
      </c>
    </row>
    <row r="2" spans="1:2" x14ac:dyDescent="0.3">
      <c r="A2" t="s">
        <v>20</v>
      </c>
      <c r="B2" s="20" t="s">
        <v>15</v>
      </c>
    </row>
    <row r="3" spans="1:2" x14ac:dyDescent="0.3">
      <c r="A3" t="s">
        <v>21</v>
      </c>
      <c r="B3" s="20"/>
    </row>
    <row r="4" spans="1:2" x14ac:dyDescent="0.3">
      <c r="B4" t="s">
        <v>22</v>
      </c>
    </row>
    <row r="5" spans="1:2" x14ac:dyDescent="0.3">
      <c r="B5" t="s">
        <v>23</v>
      </c>
    </row>
    <row r="6" spans="1:2" x14ac:dyDescent="0.3">
      <c r="B6" t="s">
        <v>24</v>
      </c>
    </row>
    <row r="7" spans="1:2" x14ac:dyDescent="0.3">
      <c r="B7" t="s">
        <v>25</v>
      </c>
    </row>
    <row r="8" spans="1:2" x14ac:dyDescent="0.3">
      <c r="B8" t="s">
        <v>26</v>
      </c>
    </row>
  </sheetData>
  <mergeCells count="1">
    <mergeCell ref="B2:B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election activeCell="B9" sqref="B9"/>
    </sheetView>
  </sheetViews>
  <sheetFormatPr defaultRowHeight="14.4" x14ac:dyDescent="0.3"/>
  <cols>
    <col min="1" max="1" width="17.33203125" customWidth="1"/>
    <col min="2" max="2" width="18.6640625" customWidth="1"/>
  </cols>
  <sheetData>
    <row r="1" spans="1:2" x14ac:dyDescent="0.3">
      <c r="A1" s="3" t="s">
        <v>9</v>
      </c>
      <c r="B1" s="3" t="s">
        <v>10</v>
      </c>
    </row>
    <row r="2" spans="1:2" x14ac:dyDescent="0.3">
      <c r="A2" t="s">
        <v>11</v>
      </c>
      <c r="B2" s="20" t="s">
        <v>14</v>
      </c>
    </row>
    <row r="3" spans="1:2" x14ac:dyDescent="0.3">
      <c r="A3" t="s">
        <v>12</v>
      </c>
      <c r="B3" s="20"/>
    </row>
    <row r="4" spans="1:2" x14ac:dyDescent="0.3">
      <c r="A4" t="s">
        <v>13</v>
      </c>
      <c r="B4" s="20"/>
    </row>
  </sheetData>
  <mergeCells count="1">
    <mergeCell ref="B2:B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
  <sheetViews>
    <sheetView workbookViewId="0">
      <selection activeCell="B30" sqref="B30"/>
    </sheetView>
  </sheetViews>
  <sheetFormatPr defaultRowHeight="14.4" x14ac:dyDescent="0.3"/>
  <cols>
    <col min="1" max="1" width="16.5546875" customWidth="1"/>
    <col min="2" max="2" width="16.6640625" customWidth="1"/>
  </cols>
  <sheetData>
    <row r="1" spans="1:2" x14ac:dyDescent="0.3">
      <c r="A1" s="3" t="s">
        <v>9</v>
      </c>
      <c r="B1" s="3" t="s">
        <v>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
  <sheetViews>
    <sheetView workbookViewId="0">
      <selection activeCell="C20" sqref="C20"/>
    </sheetView>
  </sheetViews>
  <sheetFormatPr defaultRowHeight="14.4" x14ac:dyDescent="0.3"/>
  <cols>
    <col min="1" max="2" width="26.21875" customWidth="1"/>
  </cols>
  <sheetData>
    <row r="1" spans="1:2" x14ac:dyDescent="0.3">
      <c r="A1" s="3" t="s">
        <v>9</v>
      </c>
      <c r="B1" s="3" t="s">
        <v>10</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
  <sheetViews>
    <sheetView workbookViewId="0">
      <selection activeCell="G25" sqref="G25"/>
    </sheetView>
  </sheetViews>
  <sheetFormatPr defaultRowHeight="14.4" x14ac:dyDescent="0.3"/>
  <cols>
    <col min="1" max="1" width="19.88671875" customWidth="1"/>
    <col min="2" max="2" width="19.33203125" customWidth="1"/>
  </cols>
  <sheetData>
    <row r="1" spans="1:2" x14ac:dyDescent="0.3">
      <c r="A1" s="3" t="s">
        <v>9</v>
      </c>
      <c r="B1" s="3"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issues_log</vt:lpstr>
      <vt:lpstr>videos</vt:lpstr>
      <vt:lpstr>channels</vt:lpstr>
      <vt:lpstr>category</vt:lpstr>
      <vt:lpstr>subscriptions</vt:lpstr>
      <vt:lpstr>upload_playlist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2026-07-12T10:26:23Z</dcterms:modified>
</cp:coreProperties>
</file>